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 de caisse" sheetId="1" r:id="rId5"/>
  </sheets>
  <definedNames/>
  <calcPr/>
</workbook>
</file>

<file path=xl/sharedStrings.xml><?xml version="1.0" encoding="utf-8"?>
<sst xmlns="http://schemas.openxmlformats.org/spreadsheetml/2006/main" count="23" uniqueCount="23">
  <si>
    <t>à modifier</t>
  </si>
  <si>
    <t>ne pas toucher</t>
  </si>
  <si>
    <t>Fond de caisse - Espèces</t>
  </si>
  <si>
    <t>Somme = (Fond de caisse Espèces) + (Fond de caisse Pièces)</t>
  </si>
  <si>
    <t>Caisse 1</t>
  </si>
  <si>
    <t>Caisse 2</t>
  </si>
  <si>
    <t>Caisse 3</t>
  </si>
  <si>
    <t>Montant du fond de caisse de la veille (sur le papier libre)</t>
  </si>
  <si>
    <t>Caisse 4</t>
  </si>
  <si>
    <t>Total - Caisse</t>
  </si>
  <si>
    <t>Montant espèce de la journée sur LGPI</t>
  </si>
  <si>
    <t>Fond de caisse - Pièces</t>
  </si>
  <si>
    <t>Espèces générées = ((Fond de caisse Espèces) + (Fond de caisse Pièces)) - (Fond de caisse de la veille) + (Espèces retirées)</t>
  </si>
  <si>
    <t>Total - Pièces</t>
  </si>
  <si>
    <t>Surplus caisse - Espèces retirées</t>
  </si>
  <si>
    <t>Ecart = (Montant espèce de la journée sur LGPI) - (Espèces générées)</t>
  </si>
  <si>
    <t>Nbr</t>
  </si>
  <si>
    <t>Total</t>
  </si>
  <si>
    <t>Billet 10</t>
  </si>
  <si>
    <t>Billet 20</t>
  </si>
  <si>
    <t>Billet 50</t>
  </si>
  <si>
    <t>Billet 100</t>
  </si>
  <si>
    <t>Total - Billets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</si>
</sst>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i/>
      <color theme="1"/>
      <name val="Arial"/>
      <scheme val="minor"/>
    </font>
    <font/>
    <font>
      <color theme="1"/>
      <name val="Arial"/>
      <scheme val="minor"/>
    </font>
    <font>
      <b/>
      <color rgb="FF00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9900FF"/>
        <bgColor rgb="FF9900FF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Border="1" applyFont="1"/>
    <xf borderId="2" fillId="0" fontId="1" numFmtId="0" xfId="0" applyAlignment="1" applyBorder="1" applyFont="1">
      <alignment readingOrder="0"/>
    </xf>
    <xf borderId="2" fillId="2" fontId="1" numFmtId="164" xfId="0" applyAlignment="1" applyBorder="1" applyFont="1" applyNumberFormat="1">
      <alignment readingOrder="0"/>
    </xf>
    <xf borderId="0" fillId="3" fontId="2" numFmtId="164" xfId="0" applyFont="1" applyNumberFormat="1"/>
    <xf borderId="0" fillId="2" fontId="1" numFmtId="164" xfId="0" applyAlignment="1" applyFont="1" applyNumberFormat="1">
      <alignment readingOrder="0"/>
    </xf>
    <xf borderId="0" fillId="0" fontId="5" numFmtId="164" xfId="0" applyFont="1" applyNumberFormat="1"/>
    <xf borderId="3" fillId="0" fontId="1" numFmtId="0" xfId="0" applyAlignment="1" applyBorder="1" applyFont="1">
      <alignment readingOrder="0"/>
    </xf>
    <xf borderId="3" fillId="3" fontId="2" numFmtId="164" xfId="0" applyBorder="1" applyFont="1" applyNumberFormat="1"/>
    <xf borderId="0" fillId="2" fontId="5" numFmtId="164" xfId="0" applyAlignment="1" applyFont="1" applyNumberFormat="1">
      <alignment readingOrder="0"/>
    </xf>
    <xf quotePrefix="1" borderId="1" fillId="0" fontId="3" numFmtId="0" xfId="0" applyAlignment="1" applyBorder="1" applyFont="1">
      <alignment readingOrder="0"/>
    </xf>
    <xf borderId="0" fillId="3" fontId="2" numFmtId="164" xfId="0" applyAlignment="1" applyFont="1" applyNumberFormat="1">
      <alignment readingOrder="0"/>
    </xf>
    <xf borderId="3" fillId="2" fontId="1" numFmtId="164" xfId="0" applyAlignment="1" applyBorder="1" applyFont="1" applyNumberFormat="1">
      <alignment readingOrder="0"/>
    </xf>
    <xf borderId="0" fillId="0" fontId="5" numFmtId="0" xfId="0" applyAlignment="1" applyFont="1">
      <alignment readingOrder="0"/>
    </xf>
    <xf borderId="0" fillId="4" fontId="5" numFmtId="0" xfId="0" applyAlignment="1" applyFill="1" applyFont="1">
      <alignment readingOrder="0"/>
    </xf>
    <xf borderId="0" fillId="5" fontId="5" numFmtId="0" xfId="0" applyAlignment="1" applyFill="1" applyFont="1">
      <alignment readingOrder="0"/>
    </xf>
    <xf borderId="0" fillId="6" fontId="5" numFmtId="0" xfId="0" applyAlignment="1" applyFill="1" applyFont="1">
      <alignment readingOrder="0"/>
    </xf>
    <xf borderId="0" fillId="2" fontId="6" numFmtId="0" xfId="0" applyAlignment="1" applyFont="1">
      <alignment readingOrder="0"/>
    </xf>
    <xf borderId="0" fillId="7" fontId="5" numFmtId="0" xfId="0" applyAlignment="1" applyFill="1" applyFont="1">
      <alignment readingOrder="0"/>
    </xf>
    <xf borderId="3" fillId="0" fontId="1" numFmtId="164" xfId="0" applyBorder="1" applyFont="1" applyNumberFormat="1"/>
    <xf borderId="0" fillId="0" fontId="5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56.13"/>
  </cols>
  <sheetData>
    <row r="1">
      <c r="A1" s="1" t="s">
        <v>0</v>
      </c>
      <c r="B1" s="2" t="s">
        <v>1</v>
      </c>
    </row>
    <row r="3">
      <c r="A3" s="3" t="s">
        <v>2</v>
      </c>
      <c r="B3" s="4"/>
      <c r="C3" s="4"/>
      <c r="E3" s="3" t="s">
        <v>3</v>
      </c>
      <c r="F3" s="4"/>
      <c r="G3" s="4"/>
    </row>
    <row r="4">
      <c r="B4" s="5" t="s">
        <v>4</v>
      </c>
      <c r="C4" s="6">
        <v>120.0</v>
      </c>
      <c r="E4" s="7">
        <f>((C9+C14))</f>
        <v>828.89</v>
      </c>
    </row>
    <row r="5">
      <c r="B5" s="5" t="s">
        <v>5</v>
      </c>
      <c r="C5" s="6">
        <v>120.0</v>
      </c>
    </row>
    <row r="6">
      <c r="B6" s="5" t="s">
        <v>6</v>
      </c>
      <c r="C6" s="6">
        <v>110.0</v>
      </c>
      <c r="E6" s="3" t="s">
        <v>7</v>
      </c>
      <c r="F6" s="4"/>
      <c r="G6" s="4"/>
    </row>
    <row r="7">
      <c r="B7" s="5" t="s">
        <v>8</v>
      </c>
      <c r="C7" s="6">
        <v>115.0</v>
      </c>
      <c r="E7" s="8">
        <v>889.52</v>
      </c>
    </row>
    <row r="8">
      <c r="C8" s="9"/>
    </row>
    <row r="9">
      <c r="B9" s="10" t="s">
        <v>9</v>
      </c>
      <c r="C9" s="11">
        <f>C4+C5+C6+C7</f>
        <v>465</v>
      </c>
      <c r="E9" s="3" t="s">
        <v>10</v>
      </c>
      <c r="F9" s="4"/>
      <c r="G9" s="4"/>
    </row>
    <row r="10">
      <c r="E10" s="12">
        <v>1069.29</v>
      </c>
    </row>
    <row r="12">
      <c r="A12" s="3" t="s">
        <v>11</v>
      </c>
      <c r="B12" s="4"/>
      <c r="C12" s="4"/>
      <c r="E12" s="13" t="s">
        <v>12</v>
      </c>
      <c r="F12" s="4"/>
      <c r="G12" s="4"/>
    </row>
    <row r="13">
      <c r="E13" s="14">
        <f>C23+E4-E7</f>
        <v>1069.37</v>
      </c>
    </row>
    <row r="14">
      <c r="B14" s="10" t="s">
        <v>13</v>
      </c>
      <c r="C14" s="15">
        <v>363.89</v>
      </c>
    </row>
    <row r="16">
      <c r="A16" s="3" t="s">
        <v>14</v>
      </c>
      <c r="B16" s="4"/>
      <c r="C16" s="4"/>
      <c r="E16" s="3" t="s">
        <v>15</v>
      </c>
      <c r="F16" s="4"/>
      <c r="G16" s="4"/>
    </row>
    <row r="17">
      <c r="B17" s="16" t="s">
        <v>16</v>
      </c>
      <c r="C17" s="16" t="s">
        <v>17</v>
      </c>
      <c r="E17" s="14">
        <f>E13-E10</f>
        <v>0.08</v>
      </c>
    </row>
    <row r="18">
      <c r="A18" s="17" t="s">
        <v>18</v>
      </c>
      <c r="B18" s="1">
        <v>16.0</v>
      </c>
      <c r="C18" s="7">
        <f>10*B18</f>
        <v>160</v>
      </c>
    </row>
    <row r="19">
      <c r="A19" s="18" t="s">
        <v>19</v>
      </c>
      <c r="B19" s="1">
        <v>6.0</v>
      </c>
      <c r="C19" s="7">
        <f>20*B19</f>
        <v>120</v>
      </c>
    </row>
    <row r="20">
      <c r="A20" s="19" t="s">
        <v>20</v>
      </c>
      <c r="B20" s="20">
        <v>17.0</v>
      </c>
      <c r="C20" s="14">
        <f>50*B20</f>
        <v>850</v>
      </c>
    </row>
    <row r="21">
      <c r="A21" s="21" t="s">
        <v>21</v>
      </c>
      <c r="B21" s="1">
        <v>0.0</v>
      </c>
      <c r="C21" s="14">
        <f>100*B21</f>
        <v>0</v>
      </c>
    </row>
    <row r="23">
      <c r="B23" s="10" t="s">
        <v>22</v>
      </c>
      <c r="C23" s="22">
        <f>SUM(C20+C18+C19+C21)</f>
        <v>1130</v>
      </c>
    </row>
    <row r="26">
      <c r="B26" s="23"/>
      <c r="C26" s="24"/>
    </row>
  </sheetData>
  <mergeCells count="8">
    <mergeCell ref="A3:C3"/>
    <mergeCell ref="E3:G3"/>
    <mergeCell ref="E6:G6"/>
    <mergeCell ref="E9:G9"/>
    <mergeCell ref="A12:C12"/>
    <mergeCell ref="E12:G12"/>
    <mergeCell ref="A16:C16"/>
    <mergeCell ref="E16:G16"/>
  </mergeCells>
  <drawing r:id="rId1"/>
</worksheet>
</file>